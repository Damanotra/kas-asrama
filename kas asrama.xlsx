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730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\Asrama\"/>
    </mc:Choice>
  </mc:AlternateContent>
  <xr:revisionPtr revIDLastSave="0" documentId="13_ncr:1_{D0B03ABC-F77D-45A2-AF04-3880A637ED7D}" xr6:coauthVersionLast="45" xr6:coauthVersionMax="45" xr10:uidLastSave="{00000000-0000-0000-0000-000000000000}"/>
  <bookViews>
    <workbookView xWindow="-110" yWindow="-110" windowWidth="19420" windowHeight="10560" activeTab="1" xr2:uid="{00000000-000D-0000-FFFF-FFFF00000000}"/>
  </bookViews>
  <sheets>
    <sheet name="sheet1" sheetId="1" r:id="rId1"/>
    <sheet name="_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2" i="2" l="1"/>
  <c r="N5" i="2" l="1"/>
  <c r="N4" i="2"/>
  <c r="N2" i="2"/>
  <c r="N10" i="2" s="1"/>
  <c r="P12" i="2" s="1"/>
  <c r="P14" i="2" s="1"/>
  <c r="AA3" i="1" l="1"/>
  <c r="Z3" i="1"/>
</calcChain>
</file>

<file path=xl/sharedStrings.xml><?xml version="1.0" encoding="utf-8"?>
<sst xmlns="http://schemas.openxmlformats.org/spreadsheetml/2006/main" count="334" uniqueCount="107">
  <si>
    <t>kas asrama</t>
  </si>
  <si>
    <t xml:space="preserve">November </t>
  </si>
  <si>
    <t>Desember</t>
  </si>
  <si>
    <t xml:space="preserve">Oktober </t>
  </si>
  <si>
    <t>sidiq</t>
  </si>
  <si>
    <t>hasbi</t>
  </si>
  <si>
    <t>agus</t>
  </si>
  <si>
    <t>akil</t>
  </si>
  <si>
    <t>dimas</t>
  </si>
  <si>
    <t>sholeh</t>
  </si>
  <si>
    <t>arief</t>
  </si>
  <si>
    <t>azizul</t>
  </si>
  <si>
    <t>ghani</t>
  </si>
  <si>
    <t>diaz</t>
  </si>
  <si>
    <t>khairil</t>
  </si>
  <si>
    <t>aldian</t>
  </si>
  <si>
    <t>aqsho</t>
  </si>
  <si>
    <t>nafrani</t>
  </si>
  <si>
    <t>ashar</t>
  </si>
  <si>
    <t>reza</t>
  </si>
  <si>
    <t>adam 50 dlu</t>
  </si>
  <si>
    <t>ridwan</t>
  </si>
  <si>
    <t>rahardi</t>
  </si>
  <si>
    <t>aldi</t>
  </si>
  <si>
    <t>adam</t>
  </si>
  <si>
    <t>rifki</t>
  </si>
  <si>
    <t>ferdi</t>
  </si>
  <si>
    <t>agus (-25)</t>
  </si>
  <si>
    <t xml:space="preserve"> tina = 500</t>
  </si>
  <si>
    <t>Rifki</t>
  </si>
  <si>
    <t>Akil</t>
  </si>
  <si>
    <t>afdal</t>
  </si>
  <si>
    <t>davied</t>
  </si>
  <si>
    <t>David s</t>
  </si>
  <si>
    <t>Januari</t>
  </si>
  <si>
    <t xml:space="preserve">Sholeh </t>
  </si>
  <si>
    <t>Sholeh</t>
  </si>
  <si>
    <t>Ashar</t>
  </si>
  <si>
    <t>Handi</t>
  </si>
  <si>
    <t>Handi (-50)</t>
  </si>
  <si>
    <t>amir</t>
  </si>
  <si>
    <t>amir (-25)</t>
  </si>
  <si>
    <t>NO</t>
  </si>
  <si>
    <t xml:space="preserve">Fahdly </t>
  </si>
  <si>
    <t>Mas ferry</t>
  </si>
  <si>
    <t>hasbie</t>
  </si>
  <si>
    <t xml:space="preserve">agus </t>
  </si>
  <si>
    <t>Davied h</t>
  </si>
  <si>
    <t>dhimas</t>
  </si>
  <si>
    <t>ferdy</t>
  </si>
  <si>
    <t>aqil</t>
  </si>
  <si>
    <t>nafroni</t>
  </si>
  <si>
    <t>gani</t>
  </si>
  <si>
    <t>ragun</t>
  </si>
  <si>
    <t>mas ferry</t>
  </si>
  <si>
    <t>handy</t>
  </si>
  <si>
    <t>Februari</t>
  </si>
  <si>
    <t>Diaz</t>
  </si>
  <si>
    <t>Aqil</t>
  </si>
  <si>
    <t>Mas Ferry</t>
  </si>
  <si>
    <t>khaeril</t>
  </si>
  <si>
    <t>dhimas(74)</t>
  </si>
  <si>
    <t>ridwan(70)</t>
  </si>
  <si>
    <t>aqsho(76)</t>
  </si>
  <si>
    <t xml:space="preserve">ian </t>
  </si>
  <si>
    <t>davied hermawan</t>
  </si>
  <si>
    <t>Maret</t>
  </si>
  <si>
    <t>Sidiq</t>
  </si>
  <si>
    <t>Khaeril</t>
  </si>
  <si>
    <t>Gani</t>
  </si>
  <si>
    <t>yusril</t>
  </si>
  <si>
    <t>sholeh(100)</t>
  </si>
  <si>
    <t>April</t>
  </si>
  <si>
    <t>handy(25)</t>
  </si>
  <si>
    <t>Agus</t>
  </si>
  <si>
    <t>Davied Hermawan</t>
  </si>
  <si>
    <t>Reza</t>
  </si>
  <si>
    <t>Yusril</t>
  </si>
  <si>
    <t>Hasbi</t>
  </si>
  <si>
    <t>Rahardi</t>
  </si>
  <si>
    <t>Ferdiansyah</t>
  </si>
  <si>
    <t>v</t>
  </si>
  <si>
    <t>Adam</t>
  </si>
  <si>
    <t>?</t>
  </si>
  <si>
    <t>Listrik 1</t>
  </si>
  <si>
    <t>Listrik 2</t>
  </si>
  <si>
    <t>Internet</t>
  </si>
  <si>
    <t>Mei</t>
  </si>
  <si>
    <t>Juni</t>
  </si>
  <si>
    <t>Juli</t>
  </si>
  <si>
    <t>Agustus</t>
  </si>
  <si>
    <t>v (tf)</t>
  </si>
  <si>
    <t>v (tf 50)</t>
  </si>
  <si>
    <t>Uang Adam di Kas</t>
  </si>
  <si>
    <t>v(tf)</t>
  </si>
  <si>
    <t>Ada beberapa pencatatan yang miss yang masih perlu klarifikasi</t>
  </si>
  <si>
    <t>Uang kas real</t>
  </si>
  <si>
    <t xml:space="preserve">Uang Kas ditarik ke dompet Adam </t>
  </si>
  <si>
    <t>Uang tertransfer ke rekening Adam</t>
  </si>
  <si>
    <t>David</t>
  </si>
  <si>
    <t>David Setyadi</t>
  </si>
  <si>
    <t>Pengeluaran</t>
  </si>
  <si>
    <t>Sampah</t>
  </si>
  <si>
    <t>50 (tf)</t>
  </si>
  <si>
    <t>75 (tf)</t>
  </si>
  <si>
    <t>75(tf)</t>
  </si>
  <si>
    <t>v (50 tf)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</si>
</sst>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  <xf numFmtId="0" fontId="0" fillId="2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0" fillId="5" borderId="0" xfId="0" applyFill="1" applyBorder="1" applyAlignment="1">
      <alignment horizontal="left"/>
    </xf>
    <xf numFmtId="0" fontId="0" fillId="5" borderId="0" xfId="0" applyFill="1"/>
    <xf numFmtId="0" fontId="0" fillId="4" borderId="2" xfId="0" applyFill="1" applyBorder="1" applyAlignment="1">
      <alignment horizontal="left"/>
    </xf>
    <xf numFmtId="0" fontId="0" fillId="4" borderId="0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33"/>
  <sheetViews>
    <sheetView zoomScale="85" zoomScaleNormal="85" workbookViewId="0">
      <selection activeCell="G25" sqref="G25"/>
    </sheetView>
  </sheetViews>
  <sheetFormatPr defaultRowHeight="14.5" x14ac:dyDescent="0.35"/>
  <cols>
    <col min="1" max="1" width="9.90625" bestFit="1" customWidth="1"/>
    <col min="2" max="2" width="9" bestFit="1" customWidth="1"/>
    <col min="3" max="3" width="11.08984375" bestFit="1" customWidth="1"/>
    <col min="4" max="4" width="10.26953125" bestFit="1" customWidth="1"/>
    <col min="5" max="6" width="15.90625" bestFit="1" customWidth="1"/>
    <col min="7" max="7" width="16.36328125" customWidth="1"/>
  </cols>
  <sheetData>
    <row r="1" spans="1:28" x14ac:dyDescent="0.35">
      <c r="A1" s="11" t="s">
        <v>0</v>
      </c>
      <c r="B1" s="11"/>
      <c r="C1" s="11"/>
      <c r="D1" s="11"/>
      <c r="E1" s="11"/>
    </row>
    <row r="2" spans="1:28" x14ac:dyDescent="0.35">
      <c r="A2" t="s">
        <v>42</v>
      </c>
      <c r="B2" t="s">
        <v>3</v>
      </c>
      <c r="C2" t="s">
        <v>1</v>
      </c>
      <c r="D2" t="s">
        <v>2</v>
      </c>
      <c r="E2" t="s">
        <v>34</v>
      </c>
      <c r="F2" t="s">
        <v>56</v>
      </c>
      <c r="G2" t="s">
        <v>66</v>
      </c>
      <c r="H2" t="s">
        <v>72</v>
      </c>
    </row>
    <row r="3" spans="1:28" x14ac:dyDescent="0.35">
      <c r="A3">
        <v>1</v>
      </c>
      <c r="B3" t="s">
        <v>16</v>
      </c>
      <c r="C3" t="s">
        <v>4</v>
      </c>
      <c r="D3" t="s">
        <v>4</v>
      </c>
      <c r="E3" t="s">
        <v>14</v>
      </c>
      <c r="F3" t="s">
        <v>57</v>
      </c>
      <c r="G3" t="s">
        <v>59</v>
      </c>
      <c r="H3" t="s">
        <v>73</v>
      </c>
      <c r="Z3">
        <f>150 + 40 + 20 + 75</f>
        <v>285</v>
      </c>
      <c r="AA3">
        <f xml:space="preserve"> 540 + 500 + 800</f>
        <v>1840</v>
      </c>
      <c r="AB3" t="s">
        <v>28</v>
      </c>
    </row>
    <row r="4" spans="1:28" x14ac:dyDescent="0.35">
      <c r="A4">
        <v>2</v>
      </c>
      <c r="B4" t="s">
        <v>8</v>
      </c>
      <c r="C4" t="s">
        <v>5</v>
      </c>
      <c r="D4" t="s">
        <v>13</v>
      </c>
      <c r="E4" t="s">
        <v>52</v>
      </c>
      <c r="F4" t="s">
        <v>58</v>
      </c>
      <c r="G4" t="s">
        <v>67</v>
      </c>
      <c r="H4" t="s">
        <v>40</v>
      </c>
    </row>
    <row r="5" spans="1:28" x14ac:dyDescent="0.35">
      <c r="A5">
        <v>3</v>
      </c>
      <c r="B5" t="s">
        <v>14</v>
      </c>
      <c r="C5" t="s">
        <v>6</v>
      </c>
      <c r="D5" t="s">
        <v>29</v>
      </c>
      <c r="E5" t="s">
        <v>6</v>
      </c>
      <c r="F5" t="s">
        <v>59</v>
      </c>
      <c r="G5" t="s">
        <v>68</v>
      </c>
      <c r="H5" t="s">
        <v>13</v>
      </c>
    </row>
    <row r="6" spans="1:28" x14ac:dyDescent="0.35">
      <c r="A6">
        <v>4</v>
      </c>
      <c r="B6" t="s">
        <v>12</v>
      </c>
      <c r="C6" t="s">
        <v>7</v>
      </c>
      <c r="D6" t="s">
        <v>30</v>
      </c>
      <c r="E6" t="s">
        <v>18</v>
      </c>
      <c r="F6" t="s">
        <v>15</v>
      </c>
      <c r="G6" t="s">
        <v>69</v>
      </c>
      <c r="H6" t="s">
        <v>52</v>
      </c>
    </row>
    <row r="7" spans="1:28" x14ac:dyDescent="0.35">
      <c r="A7">
        <v>5</v>
      </c>
      <c r="B7" t="s">
        <v>19</v>
      </c>
      <c r="C7" t="s">
        <v>8</v>
      </c>
      <c r="D7" t="s">
        <v>31</v>
      </c>
      <c r="E7" t="s">
        <v>48</v>
      </c>
      <c r="F7" t="s">
        <v>22</v>
      </c>
      <c r="G7" t="s">
        <v>50</v>
      </c>
      <c r="H7" t="s">
        <v>4</v>
      </c>
    </row>
    <row r="8" spans="1:28" x14ac:dyDescent="0.35">
      <c r="A8">
        <v>6</v>
      </c>
      <c r="B8" t="s">
        <v>7</v>
      </c>
      <c r="C8" t="s">
        <v>35</v>
      </c>
      <c r="D8" t="s">
        <v>14</v>
      </c>
      <c r="E8" t="s">
        <v>22</v>
      </c>
      <c r="F8" t="s">
        <v>18</v>
      </c>
      <c r="G8" t="s">
        <v>23</v>
      </c>
      <c r="H8" t="s">
        <v>37</v>
      </c>
    </row>
    <row r="9" spans="1:28" x14ac:dyDescent="0.35">
      <c r="A9">
        <v>7</v>
      </c>
      <c r="B9" t="s">
        <v>4</v>
      </c>
      <c r="C9" t="s">
        <v>10</v>
      </c>
      <c r="D9" t="s">
        <v>33</v>
      </c>
      <c r="E9" t="s">
        <v>49</v>
      </c>
      <c r="F9" t="s">
        <v>4</v>
      </c>
      <c r="G9" t="s">
        <v>6</v>
      </c>
      <c r="H9" t="s">
        <v>75</v>
      </c>
    </row>
    <row r="10" spans="1:28" x14ac:dyDescent="0.35">
      <c r="A10">
        <v>8</v>
      </c>
      <c r="B10" t="s">
        <v>11</v>
      </c>
      <c r="C10" t="s">
        <v>11</v>
      </c>
      <c r="D10" t="s">
        <v>10</v>
      </c>
      <c r="E10" t="s">
        <v>50</v>
      </c>
      <c r="F10" t="s">
        <v>9</v>
      </c>
      <c r="G10" t="s">
        <v>26</v>
      </c>
      <c r="H10" t="s">
        <v>76</v>
      </c>
    </row>
    <row r="11" spans="1:28" x14ac:dyDescent="0.35">
      <c r="A11">
        <v>9</v>
      </c>
      <c r="B11" t="s">
        <v>22</v>
      </c>
      <c r="C11" t="s">
        <v>12</v>
      </c>
      <c r="D11" t="s">
        <v>23</v>
      </c>
      <c r="E11" t="s">
        <v>19</v>
      </c>
      <c r="F11" t="s">
        <v>25</v>
      </c>
      <c r="G11" t="s">
        <v>51</v>
      </c>
      <c r="H11" t="s">
        <v>29</v>
      </c>
    </row>
    <row r="12" spans="1:28" x14ac:dyDescent="0.35">
      <c r="A12">
        <v>10</v>
      </c>
      <c r="B12" t="s">
        <v>13</v>
      </c>
      <c r="C12" t="s">
        <v>13</v>
      </c>
      <c r="D12" t="s">
        <v>16</v>
      </c>
      <c r="E12" t="s">
        <v>16</v>
      </c>
      <c r="F12" t="s">
        <v>51</v>
      </c>
      <c r="G12" t="s">
        <v>8</v>
      </c>
      <c r="H12" t="s">
        <v>78</v>
      </c>
    </row>
    <row r="13" spans="1:28" x14ac:dyDescent="0.35">
      <c r="A13">
        <v>11</v>
      </c>
      <c r="B13" t="s">
        <v>23</v>
      </c>
      <c r="C13" t="s">
        <v>14</v>
      </c>
      <c r="D13" t="s">
        <v>26</v>
      </c>
      <c r="E13" t="s">
        <v>21</v>
      </c>
      <c r="F13" t="s">
        <v>6</v>
      </c>
      <c r="G13" t="s">
        <v>22</v>
      </c>
      <c r="H13" t="s">
        <v>77</v>
      </c>
    </row>
    <row r="14" spans="1:28" x14ac:dyDescent="0.35">
      <c r="A14">
        <v>12</v>
      </c>
      <c r="B14" t="s">
        <v>24</v>
      </c>
      <c r="C14" t="s">
        <v>15</v>
      </c>
      <c r="D14" t="s">
        <v>11</v>
      </c>
      <c r="E14" t="s">
        <v>4</v>
      </c>
      <c r="F14" t="s">
        <v>60</v>
      </c>
      <c r="G14" t="s">
        <v>15</v>
      </c>
      <c r="H14" t="s">
        <v>79</v>
      </c>
    </row>
    <row r="15" spans="1:28" x14ac:dyDescent="0.35">
      <c r="A15">
        <v>13</v>
      </c>
      <c r="B15" t="s">
        <v>18</v>
      </c>
      <c r="C15" t="s">
        <v>16</v>
      </c>
      <c r="D15" t="s">
        <v>22</v>
      </c>
      <c r="E15" t="s">
        <v>51</v>
      </c>
      <c r="F15" t="s">
        <v>61</v>
      </c>
      <c r="G15" t="s">
        <v>18</v>
      </c>
      <c r="H15" t="s">
        <v>80</v>
      </c>
    </row>
    <row r="16" spans="1:28" x14ac:dyDescent="0.35">
      <c r="A16">
        <v>14</v>
      </c>
      <c r="B16" t="s">
        <v>5</v>
      </c>
      <c r="C16" t="s">
        <v>17</v>
      </c>
      <c r="D16" t="s">
        <v>15</v>
      </c>
      <c r="E16" t="s">
        <v>5</v>
      </c>
      <c r="F16" t="s">
        <v>62</v>
      </c>
      <c r="G16" t="s">
        <v>70</v>
      </c>
      <c r="H16" t="s">
        <v>74</v>
      </c>
    </row>
    <row r="17" spans="1:8" x14ac:dyDescent="0.35">
      <c r="A17">
        <v>15</v>
      </c>
      <c r="B17" t="s">
        <v>25</v>
      </c>
      <c r="C17" t="s">
        <v>18</v>
      </c>
      <c r="D17" t="s">
        <v>36</v>
      </c>
      <c r="E17" t="s">
        <v>13</v>
      </c>
      <c r="F17" t="s">
        <v>40</v>
      </c>
      <c r="G17" t="s">
        <v>5</v>
      </c>
      <c r="H17" t="s">
        <v>51</v>
      </c>
    </row>
    <row r="18" spans="1:8" x14ac:dyDescent="0.35">
      <c r="A18">
        <v>16</v>
      </c>
      <c r="B18" t="s">
        <v>32</v>
      </c>
      <c r="C18" t="s">
        <v>19</v>
      </c>
      <c r="D18" t="s">
        <v>37</v>
      </c>
      <c r="E18" t="s">
        <v>53</v>
      </c>
      <c r="F18" t="s">
        <v>63</v>
      </c>
      <c r="G18" t="s">
        <v>71</v>
      </c>
    </row>
    <row r="19" spans="1:8" x14ac:dyDescent="0.35">
      <c r="A19">
        <v>17</v>
      </c>
      <c r="B19" t="s">
        <v>26</v>
      </c>
      <c r="C19" t="s">
        <v>20</v>
      </c>
      <c r="D19" t="s">
        <v>39</v>
      </c>
      <c r="E19" t="s">
        <v>25</v>
      </c>
      <c r="F19" t="s">
        <v>65</v>
      </c>
      <c r="G19" t="s">
        <v>13</v>
      </c>
    </row>
    <row r="20" spans="1:8" x14ac:dyDescent="0.35">
      <c r="A20">
        <v>18</v>
      </c>
      <c r="B20" t="s">
        <v>46</v>
      </c>
      <c r="C20" t="s">
        <v>21</v>
      </c>
      <c r="D20" t="s">
        <v>41</v>
      </c>
      <c r="E20" t="s">
        <v>54</v>
      </c>
      <c r="F20" t="s">
        <v>19</v>
      </c>
      <c r="G20" t="s">
        <v>16</v>
      </c>
    </row>
    <row r="21" spans="1:8" x14ac:dyDescent="0.35">
      <c r="A21">
        <v>19</v>
      </c>
      <c r="B21" t="s">
        <v>31</v>
      </c>
      <c r="C21" t="s">
        <v>29</v>
      </c>
      <c r="D21" t="s">
        <v>8</v>
      </c>
      <c r="E21" t="s">
        <v>55</v>
      </c>
      <c r="F21" t="s">
        <v>69</v>
      </c>
      <c r="G21" t="s">
        <v>25</v>
      </c>
    </row>
    <row r="22" spans="1:8" x14ac:dyDescent="0.35">
      <c r="A22">
        <v>20</v>
      </c>
      <c r="B22" t="s">
        <v>33</v>
      </c>
      <c r="C22" t="s">
        <v>31</v>
      </c>
      <c r="D22" t="s">
        <v>45</v>
      </c>
      <c r="E22" t="s">
        <v>11</v>
      </c>
      <c r="F22" t="s">
        <v>70</v>
      </c>
      <c r="G22" t="s">
        <v>40</v>
      </c>
    </row>
    <row r="23" spans="1:8" x14ac:dyDescent="0.35">
      <c r="A23">
        <v>21</v>
      </c>
      <c r="B23" t="s">
        <v>10</v>
      </c>
      <c r="C23" t="s">
        <v>33</v>
      </c>
      <c r="D23" t="s">
        <v>27</v>
      </c>
      <c r="E23" t="s">
        <v>64</v>
      </c>
      <c r="F23" t="s">
        <v>5</v>
      </c>
      <c r="G23" t="s">
        <v>55</v>
      </c>
    </row>
    <row r="24" spans="1:8" x14ac:dyDescent="0.35">
      <c r="A24">
        <v>22</v>
      </c>
      <c r="B24" t="s">
        <v>9</v>
      </c>
      <c r="C24" t="s">
        <v>23</v>
      </c>
      <c r="D24" t="s">
        <v>17</v>
      </c>
      <c r="E24" t="s">
        <v>15</v>
      </c>
      <c r="G24" t="s">
        <v>99</v>
      </c>
    </row>
    <row r="25" spans="1:8" x14ac:dyDescent="0.35">
      <c r="A25">
        <v>23</v>
      </c>
      <c r="B25" t="s">
        <v>17</v>
      </c>
      <c r="C25" t="s">
        <v>26</v>
      </c>
      <c r="D25" t="s">
        <v>47</v>
      </c>
      <c r="E25" t="s">
        <v>9</v>
      </c>
    </row>
    <row r="26" spans="1:8" x14ac:dyDescent="0.35">
      <c r="A26">
        <v>24</v>
      </c>
      <c r="B26" t="s">
        <v>40</v>
      </c>
      <c r="C26" t="s">
        <v>38</v>
      </c>
      <c r="D26" t="s">
        <v>19</v>
      </c>
      <c r="E26" t="s">
        <v>23</v>
      </c>
    </row>
    <row r="27" spans="1:8" x14ac:dyDescent="0.35">
      <c r="A27">
        <v>25</v>
      </c>
      <c r="C27" t="s">
        <v>40</v>
      </c>
      <c r="E27" t="s">
        <v>40</v>
      </c>
    </row>
    <row r="28" spans="1:8" x14ac:dyDescent="0.35">
      <c r="A28">
        <v>26</v>
      </c>
      <c r="C28" t="s">
        <v>47</v>
      </c>
      <c r="E28" t="s">
        <v>65</v>
      </c>
    </row>
    <row r="29" spans="1:8" x14ac:dyDescent="0.35">
      <c r="A29">
        <v>27</v>
      </c>
    </row>
    <row r="30" spans="1:8" x14ac:dyDescent="0.35">
      <c r="A30">
        <v>28</v>
      </c>
    </row>
    <row r="31" spans="1:8" x14ac:dyDescent="0.35">
      <c r="A31">
        <v>29</v>
      </c>
    </row>
    <row r="32" spans="1:8" x14ac:dyDescent="0.35">
      <c r="A32">
        <v>30</v>
      </c>
      <c r="B32" t="s">
        <v>43</v>
      </c>
      <c r="C32" t="s">
        <v>43</v>
      </c>
      <c r="D32" t="s">
        <v>43</v>
      </c>
    </row>
    <row r="33" spans="1:4" x14ac:dyDescent="0.35">
      <c r="A33">
        <v>31</v>
      </c>
      <c r="B33" t="s">
        <v>44</v>
      </c>
      <c r="C33" t="s">
        <v>44</v>
      </c>
      <c r="D33" t="s">
        <v>44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topLeftCell="B1" workbookViewId="0">
      <selection activeCell="I11" sqref="I11"/>
    </sheetView>
  </sheetViews>
  <sheetFormatPr defaultRowHeight="14.5" x14ac:dyDescent="0.35"/>
  <cols>
    <col min="2" max="2" width="15.90625" bestFit="1" customWidth="1"/>
    <col min="4" max="4" width="7.81640625" bestFit="1" customWidth="1"/>
    <col min="15" max="15" width="29.7265625" bestFit="1" customWidth="1"/>
  </cols>
  <sheetData>
    <row r="1" spans="1:16" x14ac:dyDescent="0.35">
      <c r="B1" s="1"/>
      <c r="C1" s="2" t="s">
        <v>34</v>
      </c>
      <c r="D1" s="2" t="s">
        <v>56</v>
      </c>
      <c r="E1" s="2" t="s">
        <v>66</v>
      </c>
      <c r="F1" s="2" t="s">
        <v>72</v>
      </c>
      <c r="G1" s="2" t="s">
        <v>87</v>
      </c>
      <c r="H1" s="2" t="s">
        <v>88</v>
      </c>
      <c r="I1" s="2" t="s">
        <v>89</v>
      </c>
      <c r="K1" t="s">
        <v>84</v>
      </c>
      <c r="L1" t="s">
        <v>85</v>
      </c>
      <c r="M1" t="s">
        <v>86</v>
      </c>
      <c r="O1" t="s">
        <v>97</v>
      </c>
      <c r="P1">
        <v>2900000</v>
      </c>
    </row>
    <row r="2" spans="1:16" x14ac:dyDescent="0.35">
      <c r="A2">
        <v>1</v>
      </c>
      <c r="B2" s="3" t="s">
        <v>14</v>
      </c>
      <c r="C2" s="4" t="s">
        <v>81</v>
      </c>
      <c r="D2" s="4" t="s">
        <v>81</v>
      </c>
      <c r="E2" s="4" t="s">
        <v>81</v>
      </c>
      <c r="F2" s="4" t="s">
        <v>104</v>
      </c>
      <c r="G2" s="10" t="s">
        <v>105</v>
      </c>
      <c r="J2" t="s">
        <v>34</v>
      </c>
      <c r="K2">
        <v>644310</v>
      </c>
      <c r="L2">
        <v>458001</v>
      </c>
      <c r="M2">
        <v>676500</v>
      </c>
      <c r="N2">
        <f>SUM(K2:M2)</f>
        <v>1778811</v>
      </c>
      <c r="O2" t="s">
        <v>98</v>
      </c>
      <c r="P2">
        <f>875000+75000 + 425000 + 75000*3 + 125000</f>
        <v>1725000</v>
      </c>
    </row>
    <row r="3" spans="1:16" x14ac:dyDescent="0.35">
      <c r="A3">
        <v>2</v>
      </c>
      <c r="B3" s="3" t="s">
        <v>52</v>
      </c>
      <c r="C3" s="4" t="s">
        <v>81</v>
      </c>
      <c r="D3" s="4" t="s">
        <v>81</v>
      </c>
      <c r="E3" s="4" t="s">
        <v>81</v>
      </c>
      <c r="F3" s="4" t="s">
        <v>91</v>
      </c>
      <c r="G3" s="10" t="s">
        <v>104</v>
      </c>
      <c r="J3" t="s">
        <v>56</v>
      </c>
      <c r="N3">
        <v>677000</v>
      </c>
    </row>
    <row r="4" spans="1:16" x14ac:dyDescent="0.35">
      <c r="A4">
        <v>3</v>
      </c>
      <c r="B4" s="3" t="s">
        <v>6</v>
      </c>
      <c r="C4" s="4" t="s">
        <v>81</v>
      </c>
      <c r="D4" s="4" t="s">
        <v>81</v>
      </c>
      <c r="E4" s="4" t="s">
        <v>81</v>
      </c>
      <c r="F4" s="4" t="s">
        <v>91</v>
      </c>
      <c r="J4" t="s">
        <v>66</v>
      </c>
      <c r="M4">
        <v>679915</v>
      </c>
      <c r="N4">
        <f>SUM(K4:M4)</f>
        <v>679915</v>
      </c>
    </row>
    <row r="5" spans="1:16" x14ac:dyDescent="0.35">
      <c r="A5">
        <v>4</v>
      </c>
      <c r="B5" s="3" t="s">
        <v>18</v>
      </c>
      <c r="C5" s="4" t="s">
        <v>81</v>
      </c>
      <c r="D5" s="4" t="s">
        <v>81</v>
      </c>
      <c r="E5" s="4" t="s">
        <v>81</v>
      </c>
      <c r="F5" s="4" t="s">
        <v>92</v>
      </c>
      <c r="J5" t="s">
        <v>72</v>
      </c>
      <c r="K5">
        <v>525096</v>
      </c>
      <c r="L5">
        <v>419428</v>
      </c>
      <c r="M5">
        <v>682000</v>
      </c>
      <c r="N5">
        <f>SUM(K5:M5)</f>
        <v>1626524</v>
      </c>
    </row>
    <row r="6" spans="1:16" x14ac:dyDescent="0.35">
      <c r="A6">
        <v>5</v>
      </c>
      <c r="B6" s="3" t="s">
        <v>48</v>
      </c>
      <c r="C6" s="4" t="s">
        <v>81</v>
      </c>
      <c r="D6" s="4">
        <v>74</v>
      </c>
      <c r="E6" s="4" t="s">
        <v>81</v>
      </c>
      <c r="F6" s="4" t="s">
        <v>104</v>
      </c>
      <c r="J6" t="s">
        <v>87</v>
      </c>
    </row>
    <row r="7" spans="1:16" x14ac:dyDescent="0.35">
      <c r="A7">
        <v>6</v>
      </c>
      <c r="B7" s="3" t="s">
        <v>22</v>
      </c>
      <c r="C7" s="4" t="s">
        <v>81</v>
      </c>
      <c r="D7" s="4" t="s">
        <v>81</v>
      </c>
      <c r="E7" s="4" t="s">
        <v>81</v>
      </c>
      <c r="F7" s="4" t="s">
        <v>91</v>
      </c>
      <c r="G7" s="10" t="s">
        <v>104</v>
      </c>
      <c r="J7" t="s">
        <v>88</v>
      </c>
    </row>
    <row r="8" spans="1:16" x14ac:dyDescent="0.35">
      <c r="A8">
        <v>7</v>
      </c>
      <c r="B8" s="3" t="s">
        <v>49</v>
      </c>
      <c r="C8" s="4" t="s">
        <v>81</v>
      </c>
      <c r="D8" s="4" t="s">
        <v>81</v>
      </c>
      <c r="E8" s="4" t="s">
        <v>81</v>
      </c>
      <c r="F8" s="4" t="s">
        <v>91</v>
      </c>
      <c r="J8" t="s">
        <v>89</v>
      </c>
    </row>
    <row r="9" spans="1:16" x14ac:dyDescent="0.35">
      <c r="A9">
        <v>8</v>
      </c>
      <c r="B9" s="3" t="s">
        <v>50</v>
      </c>
      <c r="C9" s="4" t="s">
        <v>81</v>
      </c>
      <c r="D9" s="4" t="s">
        <v>81</v>
      </c>
      <c r="E9" s="4" t="s">
        <v>81</v>
      </c>
      <c r="F9" s="4" t="s">
        <v>91</v>
      </c>
      <c r="J9" t="s">
        <v>90</v>
      </c>
    </row>
    <row r="10" spans="1:16" x14ac:dyDescent="0.35">
      <c r="A10">
        <v>9</v>
      </c>
      <c r="B10" s="3" t="s">
        <v>19</v>
      </c>
      <c r="C10" s="4" t="s">
        <v>81</v>
      </c>
      <c r="D10" s="4" t="s">
        <v>81</v>
      </c>
      <c r="E10" s="4" t="s">
        <v>83</v>
      </c>
      <c r="F10" s="4" t="s">
        <v>91</v>
      </c>
      <c r="N10">
        <f>SUM(N2:N9)</f>
        <v>4762250</v>
      </c>
    </row>
    <row r="11" spans="1:16" x14ac:dyDescent="0.35">
      <c r="A11">
        <v>10</v>
      </c>
      <c r="B11" s="3" t="s">
        <v>16</v>
      </c>
      <c r="C11" s="4" t="s">
        <v>81</v>
      </c>
      <c r="D11" s="4">
        <v>76</v>
      </c>
      <c r="E11" s="4" t="s">
        <v>81</v>
      </c>
      <c r="F11" s="4" t="s">
        <v>94</v>
      </c>
    </row>
    <row r="12" spans="1:16" x14ac:dyDescent="0.35">
      <c r="A12">
        <v>11</v>
      </c>
      <c r="B12" s="3" t="s">
        <v>21</v>
      </c>
      <c r="C12" s="4" t="s">
        <v>81</v>
      </c>
      <c r="D12" s="4">
        <v>70</v>
      </c>
      <c r="E12" s="4"/>
      <c r="F12" s="4"/>
      <c r="O12" t="s">
        <v>93</v>
      </c>
      <c r="P12">
        <f>N10-P1-P2-C28-D28-E28-F28</f>
        <v>-162750</v>
      </c>
    </row>
    <row r="13" spans="1:16" x14ac:dyDescent="0.35">
      <c r="A13">
        <v>12</v>
      </c>
      <c r="B13" s="3" t="s">
        <v>4</v>
      </c>
      <c r="C13" s="4" t="s">
        <v>81</v>
      </c>
      <c r="D13" s="4" t="s">
        <v>81</v>
      </c>
      <c r="E13" s="4" t="s">
        <v>81</v>
      </c>
      <c r="F13" s="4" t="s">
        <v>91</v>
      </c>
      <c r="G13" s="10" t="s">
        <v>104</v>
      </c>
    </row>
    <row r="14" spans="1:16" x14ac:dyDescent="0.35">
      <c r="A14">
        <v>13</v>
      </c>
      <c r="B14" s="3" t="s">
        <v>51</v>
      </c>
      <c r="C14" s="4" t="s">
        <v>81</v>
      </c>
      <c r="D14" s="4" t="s">
        <v>81</v>
      </c>
      <c r="E14" s="4" t="s">
        <v>81</v>
      </c>
      <c r="F14" s="4" t="s">
        <v>81</v>
      </c>
      <c r="O14" t="s">
        <v>96</v>
      </c>
      <c r="P14">
        <f>2100000-P12-K17</f>
        <v>2212750</v>
      </c>
    </row>
    <row r="15" spans="1:16" x14ac:dyDescent="0.35">
      <c r="A15">
        <v>14</v>
      </c>
      <c r="B15" s="3" t="s">
        <v>5</v>
      </c>
      <c r="C15" s="4" t="s">
        <v>81</v>
      </c>
      <c r="D15" s="4" t="s">
        <v>81</v>
      </c>
      <c r="E15" s="4" t="s">
        <v>81</v>
      </c>
      <c r="F15" s="4" t="s">
        <v>91</v>
      </c>
    </row>
    <row r="16" spans="1:16" x14ac:dyDescent="0.35">
      <c r="A16">
        <v>15</v>
      </c>
      <c r="B16" s="3" t="s">
        <v>13</v>
      </c>
      <c r="C16" s="4" t="s">
        <v>81</v>
      </c>
      <c r="D16" s="4" t="s">
        <v>81</v>
      </c>
      <c r="E16" s="4" t="s">
        <v>81</v>
      </c>
      <c r="F16" s="4" t="s">
        <v>91</v>
      </c>
      <c r="J16" t="s">
        <v>101</v>
      </c>
    </row>
    <row r="17" spans="1:11" x14ac:dyDescent="0.35">
      <c r="A17">
        <v>16</v>
      </c>
      <c r="B17" s="3" t="s">
        <v>53</v>
      </c>
      <c r="C17" s="4" t="s">
        <v>81</v>
      </c>
      <c r="D17" s="4" t="s">
        <v>81</v>
      </c>
      <c r="E17" s="4"/>
      <c r="F17" s="4"/>
      <c r="J17" t="s">
        <v>102</v>
      </c>
      <c r="K17">
        <v>50000</v>
      </c>
    </row>
    <row r="18" spans="1:11" x14ac:dyDescent="0.35">
      <c r="A18">
        <v>17</v>
      </c>
      <c r="B18" s="3" t="s">
        <v>25</v>
      </c>
      <c r="C18" s="4" t="s">
        <v>81</v>
      </c>
      <c r="D18" s="4" t="s">
        <v>81</v>
      </c>
      <c r="E18" s="4" t="s">
        <v>81</v>
      </c>
      <c r="F18" s="4" t="s">
        <v>91</v>
      </c>
    </row>
    <row r="19" spans="1:11" x14ac:dyDescent="0.35">
      <c r="A19">
        <v>18</v>
      </c>
      <c r="B19" s="3" t="s">
        <v>54</v>
      </c>
      <c r="C19" s="4" t="s">
        <v>81</v>
      </c>
      <c r="D19" s="4" t="s">
        <v>81</v>
      </c>
      <c r="E19" s="4" t="s">
        <v>81</v>
      </c>
      <c r="F19" s="4" t="s">
        <v>103</v>
      </c>
      <c r="G19" s="4" t="s">
        <v>103</v>
      </c>
      <c r="H19" s="4" t="s">
        <v>103</v>
      </c>
      <c r="I19" s="4" t="s">
        <v>103</v>
      </c>
    </row>
    <row r="20" spans="1:11" x14ac:dyDescent="0.35">
      <c r="A20">
        <v>19</v>
      </c>
      <c r="B20" s="3" t="s">
        <v>55</v>
      </c>
      <c r="C20" s="4" t="s">
        <v>81</v>
      </c>
      <c r="D20" s="4" t="s">
        <v>81</v>
      </c>
      <c r="E20" s="4" t="s">
        <v>81</v>
      </c>
      <c r="F20" s="4">
        <v>25</v>
      </c>
    </row>
    <row r="21" spans="1:11" x14ac:dyDescent="0.35">
      <c r="A21">
        <v>20</v>
      </c>
      <c r="B21" s="3" t="s">
        <v>11</v>
      </c>
      <c r="C21" s="4" t="s">
        <v>81</v>
      </c>
      <c r="D21" s="4" t="s">
        <v>81</v>
      </c>
      <c r="E21" s="4" t="s">
        <v>81</v>
      </c>
      <c r="F21" s="4" t="s">
        <v>81</v>
      </c>
    </row>
    <row r="22" spans="1:11" x14ac:dyDescent="0.35">
      <c r="A22">
        <v>21</v>
      </c>
      <c r="B22" s="3" t="s">
        <v>64</v>
      </c>
      <c r="C22" s="4" t="s">
        <v>81</v>
      </c>
      <c r="D22" s="4" t="s">
        <v>81</v>
      </c>
      <c r="E22" s="4" t="s">
        <v>91</v>
      </c>
      <c r="F22" s="4" t="s">
        <v>91</v>
      </c>
    </row>
    <row r="23" spans="1:11" x14ac:dyDescent="0.35">
      <c r="A23">
        <v>22</v>
      </c>
      <c r="B23" s="3" t="s">
        <v>15</v>
      </c>
      <c r="C23" s="4" t="s">
        <v>81</v>
      </c>
      <c r="D23" s="4" t="s">
        <v>81</v>
      </c>
      <c r="E23" s="4" t="s">
        <v>81</v>
      </c>
      <c r="F23" s="4"/>
    </row>
    <row r="24" spans="1:11" x14ac:dyDescent="0.35">
      <c r="A24">
        <v>23</v>
      </c>
      <c r="B24" s="3" t="s">
        <v>9</v>
      </c>
      <c r="C24" s="4" t="s">
        <v>81</v>
      </c>
      <c r="D24" s="4" t="s">
        <v>81</v>
      </c>
      <c r="E24" s="4" t="s">
        <v>81</v>
      </c>
      <c r="F24" s="4" t="s">
        <v>106</v>
      </c>
      <c r="G24" s="10" t="s">
        <v>104</v>
      </c>
    </row>
    <row r="25" spans="1:11" x14ac:dyDescent="0.35">
      <c r="A25">
        <v>24</v>
      </c>
      <c r="B25" s="3" t="s">
        <v>23</v>
      </c>
      <c r="C25" s="4" t="s">
        <v>81</v>
      </c>
      <c r="D25" s="4" t="s">
        <v>81</v>
      </c>
      <c r="E25" s="4" t="s">
        <v>81</v>
      </c>
      <c r="F25" s="4"/>
    </row>
    <row r="26" spans="1:11" x14ac:dyDescent="0.35">
      <c r="A26">
        <v>25</v>
      </c>
      <c r="B26" s="3" t="s">
        <v>40</v>
      </c>
      <c r="C26" s="4" t="s">
        <v>81</v>
      </c>
      <c r="D26" s="4" t="s">
        <v>81</v>
      </c>
      <c r="E26" s="4" t="s">
        <v>81</v>
      </c>
      <c r="F26" s="4" t="s">
        <v>81</v>
      </c>
    </row>
    <row r="27" spans="1:11" x14ac:dyDescent="0.35">
      <c r="A27">
        <v>26</v>
      </c>
      <c r="B27" s="3" t="s">
        <v>65</v>
      </c>
      <c r="C27" s="4" t="s">
        <v>81</v>
      </c>
      <c r="D27" s="4" t="s">
        <v>81</v>
      </c>
      <c r="E27" s="4" t="s">
        <v>83</v>
      </c>
      <c r="F27" s="4" t="s">
        <v>91</v>
      </c>
    </row>
    <row r="28" spans="1:11" x14ac:dyDescent="0.35">
      <c r="A28">
        <v>27</v>
      </c>
      <c r="B28" s="3" t="s">
        <v>82</v>
      </c>
      <c r="C28" s="5">
        <v>75000</v>
      </c>
      <c r="D28" s="5">
        <v>75000</v>
      </c>
      <c r="E28" s="5">
        <v>75000</v>
      </c>
      <c r="F28" s="5">
        <v>75000</v>
      </c>
    </row>
    <row r="29" spans="1:11" x14ac:dyDescent="0.35">
      <c r="A29">
        <v>28</v>
      </c>
      <c r="B29" s="3" t="s">
        <v>100</v>
      </c>
      <c r="C29" s="8" t="s">
        <v>81</v>
      </c>
      <c r="D29" s="8" t="s">
        <v>81</v>
      </c>
      <c r="E29" s="8" t="s">
        <v>81</v>
      </c>
      <c r="F29" s="9" t="s">
        <v>91</v>
      </c>
      <c r="G29" s="9" t="s">
        <v>104</v>
      </c>
    </row>
    <row r="31" spans="1:11" x14ac:dyDescent="0.35">
      <c r="C31" s="6" t="s">
        <v>95</v>
      </c>
      <c r="D31" s="7"/>
      <c r="E31" s="7"/>
      <c r="F31" s="7"/>
      <c r="G31" s="7"/>
      <c r="H31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fahdly awaluddin</dc:creator>
  <cp:lastModifiedBy>Adam Marsono</cp:lastModifiedBy>
  <dcterms:created xsi:type="dcterms:W3CDTF">2019-12-09T12:49:15Z</dcterms:created>
  <dcterms:modified xsi:type="dcterms:W3CDTF">2020-05-20T10:36:46Z</dcterms:modified>
</cp:coreProperties>
</file>